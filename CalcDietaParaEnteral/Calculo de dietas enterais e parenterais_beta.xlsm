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tassi\OneDrive\Desenvolvedor\VBA\Macros by myself\Calculo de dietas enterais e parenterais\"/>
    </mc:Choice>
  </mc:AlternateContent>
  <bookViews>
    <workbookView showHorizontalScroll="0" showVerticalScroll="0" xWindow="0" yWindow="0" windowWidth="20490" windowHeight="6750"/>
  </bookViews>
  <sheets>
    <sheet name="Cál dieta enteral e parenteral" sheetId="1" r:id="rId1"/>
    <sheet name="Dietas cadastradas" sheetId="5" r:id="rId2"/>
  </sheets>
  <definedNames>
    <definedName name="dieta">'Dietas cadastradas'!$A$2:$C$5</definedName>
    <definedName name="dietaname">'Dietas cadastradas'!$A$2:$A$5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C9" i="1" s="1"/>
  <c r="F8" i="1"/>
  <c r="F9" i="1" s="1"/>
  <c r="F12" i="1" l="1"/>
  <c r="F14" i="1" s="1"/>
  <c r="E13" i="1" s="1"/>
  <c r="C12" i="1"/>
  <c r="C14" i="1" s="1"/>
  <c r="F13" i="1" l="1"/>
  <c r="C13" i="1"/>
  <c r="B13" i="1"/>
</calcChain>
</file>

<file path=xl/sharedStrings.xml><?xml version="1.0" encoding="utf-8"?>
<sst xmlns="http://schemas.openxmlformats.org/spreadsheetml/2006/main" count="23" uniqueCount="21">
  <si>
    <t>Massa corporal</t>
  </si>
  <si>
    <t>Volume recebido</t>
  </si>
  <si>
    <t>Meta calórica (kcal/kg)</t>
  </si>
  <si>
    <t>Meta proteica (gPTN/kg)</t>
  </si>
  <si>
    <t xml:space="preserve">Dieta </t>
  </si>
  <si>
    <t xml:space="preserve">Nome </t>
  </si>
  <si>
    <t>Concentração protéica (g) por mL</t>
  </si>
  <si>
    <t>Quantidade de kcal recebida</t>
  </si>
  <si>
    <t>Quantidade de kcal/kg</t>
  </si>
  <si>
    <t>Quantidade de g/kg</t>
  </si>
  <si>
    <t>Adequação Protéica</t>
  </si>
  <si>
    <t>a</t>
  </si>
  <si>
    <t>Quantidade de g(PTN) recebida</t>
  </si>
  <si>
    <t>Adequação Calórica</t>
  </si>
  <si>
    <t>% Calórica atingida</t>
  </si>
  <si>
    <t>% Protéica atingida</t>
  </si>
  <si>
    <t>Concentração calórica (kcal) por mL</t>
  </si>
  <si>
    <t>Survimed OPD</t>
  </si>
  <si>
    <t>Fresubin Lipid</t>
  </si>
  <si>
    <t xml:space="preserve">Fresubin HP Energy </t>
  </si>
  <si>
    <t>Olimel N9E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</si>
</sst>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slantDashDot">
        <color theme="4" tint="0.39997558519241921"/>
      </left>
      <right style="slantDashDot">
        <color theme="4" tint="0.39997558519241921"/>
      </right>
      <top style="slantDashDot">
        <color theme="4" tint="0.39997558519241921"/>
      </top>
      <bottom style="slantDashDot">
        <color theme="4" tint="0.39997558519241921"/>
      </bottom>
      <diagonal/>
    </border>
    <border>
      <left style="slantDashDot">
        <color theme="0"/>
      </left>
      <right style="slantDashDot">
        <color theme="0"/>
      </right>
      <top style="slantDashDot">
        <color theme="0"/>
      </top>
      <bottom style="slantDashDot">
        <color theme="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0" fillId="2" borderId="0" xfId="0" applyFill="1" applyAlignment="1">
      <alignment horizontal="center" vertical="center"/>
    </xf>
    <xf numFmtId="0" fontId="5" fillId="2" borderId="0" xfId="2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 applyProtection="1">
      <protection locked="0"/>
    </xf>
    <xf numFmtId="0" fontId="2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 applyBorder="1"/>
    <xf numFmtId="0" fontId="3" fillId="3" borderId="0" xfId="0" applyFont="1" applyFill="1" applyBorder="1"/>
    <xf numFmtId="9" fontId="3" fillId="3" borderId="0" xfId="1" applyFont="1" applyFill="1" applyBorder="1"/>
    <xf numFmtId="9" fontId="3" fillId="3" borderId="0" xfId="0" applyNumberFormat="1" applyFont="1" applyFill="1" applyBorder="1"/>
    <xf numFmtId="9" fontId="0" fillId="3" borderId="0" xfId="0" applyNumberFormat="1" applyFill="1" applyBorder="1"/>
    <xf numFmtId="0" fontId="2" fillId="3" borderId="2" xfId="0" applyFont="1" applyFill="1" applyBorder="1"/>
    <xf numFmtId="0" fontId="0" fillId="3" borderId="2" xfId="0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0" fontId="0" fillId="3" borderId="2" xfId="0" applyFill="1" applyBorder="1" applyAlignment="1" applyProtection="1">
      <alignment horizontal="center" vertical="center"/>
      <protection locked="0"/>
    </xf>
  </cellXfs>
  <cellStyles count="3">
    <cellStyle name="Hiperlink" xfId="2" builtinId="8"/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FFFFE7"/>
      <color rgb="FF00FFFF"/>
      <color rgb="FFFFFFCC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'Cál dieta enteral e parenteral'!$B$11</c:f>
              <c:strCache>
                <c:ptCount val="1"/>
                <c:pt idx="0">
                  <c:v>Adequação Calórica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7FA-4B15-ACCE-1578BCF332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7FA-4B15-ACCE-1578BCF332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'Cál dieta enteral e parenteral'!$B$12:$B$13</c:f>
              <c:strCache>
                <c:ptCount val="2"/>
                <c:pt idx="0">
                  <c:v>% Calórica atingida</c:v>
                </c:pt>
                <c:pt idx="1">
                  <c:v>Defasagem calórica</c:v>
                </c:pt>
              </c:strCache>
            </c:strRef>
          </c:cat>
          <c:val>
            <c:numRef>
              <c:f>'Cál dieta enteral e parenteral'!$C$12:$C$13</c:f>
              <c:numCache>
                <c:formatCode>0%</c:formatCode>
                <c:ptCount val="2"/>
                <c:pt idx="0">
                  <c:v>0.87131147540983611</c:v>
                </c:pt>
                <c:pt idx="1">
                  <c:v>0.12868852459016389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C-4C92-ABEC-F991B565D51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E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'Cál dieta enteral e parenteral'!$E$11</c:f>
              <c:strCache>
                <c:ptCount val="1"/>
                <c:pt idx="0">
                  <c:v>Adequação Protéica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9A9-4906-8067-24925611C2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9A9-4906-8067-24925611C2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'Cál dieta enteral e parenteral'!$E$12:$E$13</c:f>
              <c:strCache>
                <c:ptCount val="2"/>
                <c:pt idx="0">
                  <c:v>% Protéica atingida</c:v>
                </c:pt>
                <c:pt idx="1">
                  <c:v>Excesso protéico</c:v>
                </c:pt>
              </c:strCache>
            </c:strRef>
          </c:cat>
          <c:val>
            <c:numRef>
              <c:f>'Cál dieta enteral e parenteral'!$F$12:$F$13</c:f>
              <c:numCache>
                <c:formatCode>0%</c:formatCode>
                <c:ptCount val="2"/>
                <c:pt idx="0">
                  <c:v>1.1899253731343282</c:v>
                </c:pt>
                <c:pt idx="1">
                  <c:v>0.18992537313432822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3-44ED-A510-6A5887A3A1E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E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Relationship Id="rId10" Type="http://schemas.openxmlformats.org/officeDocument/2006/relationships/image" Target="../media/image10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10</xdr:row>
      <xdr:rowOff>9525</xdr:rowOff>
    </xdr:from>
    <xdr:to>
      <xdr:col>3</xdr:col>
      <xdr:colOff>76200</xdr:colOff>
      <xdr:row>24</xdr:row>
      <xdr:rowOff>104775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600075</xdr:colOff>
      <xdr:row>10</xdr:row>
      <xdr:rowOff>9525</xdr:rowOff>
    </xdr:from>
    <xdr:to>
      <xdr:col>6</xdr:col>
      <xdr:colOff>9524</xdr:colOff>
      <xdr:row>24</xdr:row>
      <xdr:rowOff>123825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1295400</xdr:colOff>
      <xdr:row>0</xdr:row>
      <xdr:rowOff>19050</xdr:rowOff>
    </xdr:from>
    <xdr:to>
      <xdr:col>4</xdr:col>
      <xdr:colOff>638175</xdr:colOff>
      <xdr:row>5</xdr:row>
      <xdr:rowOff>276225</xdr:rowOff>
    </xdr:to>
    <xdr:grpSp>
      <xdr:nvGrpSpPr>
        <xdr:cNvPr id="5" name="Help"/>
        <xdr:cNvGrpSpPr/>
      </xdr:nvGrpSpPr>
      <xdr:grpSpPr>
        <a:xfrm>
          <a:off x="3686175" y="19050"/>
          <a:ext cx="1276350" cy="1257300"/>
          <a:chOff x="7077075" y="495300"/>
          <a:chExt cx="1371600" cy="1171575"/>
        </a:xfrm>
        <a:solidFill>
          <a:schemeClr val="accent5">
            <a:lumMod val="75000"/>
          </a:schemeClr>
        </a:solidFill>
      </xdr:grpSpPr>
      <xdr:sp macro="" textlink="">
        <xdr:nvSpPr>
          <xdr:cNvPr id="6" name="Rolagem Vertical 5"/>
          <xdr:cNvSpPr/>
        </xdr:nvSpPr>
        <xdr:spPr>
          <a:xfrm>
            <a:off x="7077075" y="723900"/>
            <a:ext cx="1371600" cy="942975"/>
          </a:xfrm>
          <a:prstGeom prst="verticalScroll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100">
                <a:solidFill>
                  <a:schemeClr val="accent1">
                    <a:lumMod val="20000"/>
                    <a:lumOff val="80000"/>
                  </a:schemeClr>
                </a:solidFill>
                <a:effectLst/>
                <a:latin typeface="+mn-lt"/>
                <a:ea typeface="+mn-ea"/>
                <a:cs typeface="+mn-cs"/>
              </a:rPr>
              <a:t>Insira os dados para realizarmos os cálculos :)</a:t>
            </a:r>
            <a:endParaRPr lang="pt-BR">
              <a:solidFill>
                <a:schemeClr val="accent1">
                  <a:lumMod val="20000"/>
                  <a:lumOff val="80000"/>
                </a:schemeClr>
              </a:solidFill>
              <a:effectLst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7" name="Lua 6"/>
          <xdr:cNvSpPr/>
        </xdr:nvSpPr>
        <xdr:spPr>
          <a:xfrm>
            <a:off x="7181850" y="495300"/>
            <a:ext cx="285750" cy="495300"/>
          </a:xfrm>
          <a:prstGeom prst="moon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>
    <xdr:from>
      <xdr:col>13</xdr:col>
      <xdr:colOff>304036</xdr:colOff>
      <xdr:row>0</xdr:row>
      <xdr:rowOff>1</xdr:rowOff>
    </xdr:from>
    <xdr:to>
      <xdr:col>14</xdr:col>
      <xdr:colOff>438148</xdr:colOff>
      <xdr:row>3</xdr:row>
      <xdr:rowOff>143638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5036" y="1"/>
          <a:ext cx="743712" cy="743712"/>
        </a:xfrm>
        <a:prstGeom prst="rect">
          <a:avLst/>
        </a:prstGeom>
      </xdr:spPr>
    </xdr:pic>
    <xdr:clientData/>
  </xdr:twoCellAnchor>
  <xdr:twoCellAnchor>
    <xdr:from>
      <xdr:col>13</xdr:col>
      <xdr:colOff>377934</xdr:colOff>
      <xdr:row>6</xdr:row>
      <xdr:rowOff>50477</xdr:rowOff>
    </xdr:from>
    <xdr:to>
      <xdr:col>14</xdr:col>
      <xdr:colOff>442347</xdr:colOff>
      <xdr:row>10</xdr:row>
      <xdr:rowOff>85725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88934" y="1364927"/>
          <a:ext cx="674013" cy="825823"/>
        </a:xfrm>
        <a:prstGeom prst="rect">
          <a:avLst/>
        </a:prstGeom>
      </xdr:spPr>
    </xdr:pic>
    <xdr:clientData/>
  </xdr:twoCellAnchor>
  <xdr:twoCellAnchor>
    <xdr:from>
      <xdr:col>13</xdr:col>
      <xdr:colOff>294512</xdr:colOff>
      <xdr:row>13</xdr:row>
      <xdr:rowOff>19051</xdr:rowOff>
    </xdr:from>
    <xdr:to>
      <xdr:col>14</xdr:col>
      <xdr:colOff>428624</xdr:colOff>
      <xdr:row>17</xdr:row>
      <xdr:rowOff>763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05512" y="2695576"/>
          <a:ext cx="743712" cy="743712"/>
        </a:xfrm>
        <a:prstGeom prst="rect">
          <a:avLst/>
        </a:prstGeom>
      </xdr:spPr>
    </xdr:pic>
    <xdr:clientData/>
  </xdr:twoCellAnchor>
  <xdr:twoCellAnchor>
    <xdr:from>
      <xdr:col>13</xdr:col>
      <xdr:colOff>387460</xdr:colOff>
      <xdr:row>19</xdr:row>
      <xdr:rowOff>183827</xdr:rowOff>
    </xdr:from>
    <xdr:to>
      <xdr:col>14</xdr:col>
      <xdr:colOff>451873</xdr:colOff>
      <xdr:row>24</xdr:row>
      <xdr:rowOff>57150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8460" y="4003352"/>
          <a:ext cx="674013" cy="825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1</xdr:row>
      <xdr:rowOff>28575</xdr:rowOff>
    </xdr:from>
    <xdr:to>
      <xdr:col>4</xdr:col>
      <xdr:colOff>609599</xdr:colOff>
      <xdr:row>3</xdr:row>
      <xdr:rowOff>161925</xdr:rowOff>
    </xdr:to>
    <xdr:grpSp>
      <xdr:nvGrpSpPr>
        <xdr:cNvPr id="7" name="Agrupar 6"/>
        <xdr:cNvGrpSpPr/>
      </xdr:nvGrpSpPr>
      <xdr:grpSpPr>
        <a:xfrm>
          <a:off x="6334124" y="238125"/>
          <a:ext cx="600075" cy="533400"/>
          <a:chOff x="7410449" y="257175"/>
          <a:chExt cx="600075" cy="523875"/>
        </a:xfrm>
      </xdr:grpSpPr>
      <xdr:sp macro="[0]!AtualizarData" textlink="">
        <xdr:nvSpPr>
          <xdr:cNvPr id="2" name="Fluxograma: Preparação 1"/>
          <xdr:cNvSpPr/>
        </xdr:nvSpPr>
        <xdr:spPr>
          <a:xfrm>
            <a:off x="7410449" y="257175"/>
            <a:ext cx="600075" cy="523875"/>
          </a:xfrm>
          <a:prstGeom prst="flowChartPreparation">
            <a:avLst/>
          </a:prstGeom>
          <a:solidFill>
            <a:srgbClr val="00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AtualizarData">
        <xdr:nvPicPr>
          <xdr:cNvPr id="5" name="Graphic 10" descr="Disk">
            <a:extLst>
              <a:ext uri="{FF2B5EF4-FFF2-40B4-BE49-F238E27FC236}">
                <a16:creationId xmlns:a16="http://schemas.microsoft.com/office/drawing/2014/main" id="{CA694917-EA48-4301-8AD1-A79FD945C2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467213" y="257175"/>
            <a:ext cx="486547" cy="515287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5</xdr:row>
          <xdr:rowOff>104775</xdr:rowOff>
        </xdr:from>
        <xdr:to>
          <xdr:col>4</xdr:col>
          <xdr:colOff>552450</xdr:colOff>
          <xdr:row>7</xdr:row>
          <xdr:rowOff>28575</xdr:rowOff>
        </xdr:to>
        <xdr:sp macro="" textlink="">
          <xdr:nvSpPr>
            <xdr:cNvPr id="2051" name="CBHelp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400050</xdr:colOff>
      <xdr:row>1</xdr:row>
      <xdr:rowOff>19051</xdr:rowOff>
    </xdr:from>
    <xdr:to>
      <xdr:col>9</xdr:col>
      <xdr:colOff>447674</xdr:colOff>
      <xdr:row>11</xdr:row>
      <xdr:rowOff>28575</xdr:rowOff>
    </xdr:to>
    <xdr:grpSp>
      <xdr:nvGrpSpPr>
        <xdr:cNvPr id="8" name="GrupoHelp1"/>
        <xdr:cNvGrpSpPr/>
      </xdr:nvGrpSpPr>
      <xdr:grpSpPr>
        <a:xfrm>
          <a:off x="7334250" y="228601"/>
          <a:ext cx="2486024" cy="2009774"/>
          <a:chOff x="5924550" y="1381126"/>
          <a:chExt cx="2486024" cy="2000249"/>
        </a:xfrm>
      </xdr:grpSpPr>
      <xdr:sp macro="" textlink="">
        <xdr:nvSpPr>
          <xdr:cNvPr id="10" name="Flowchart: Document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6106236" y="1657399"/>
            <a:ext cx="2304338" cy="1723976"/>
          </a:xfrm>
          <a:custGeom>
            <a:avLst/>
            <a:gdLst>
              <a:gd name="connsiteX0" fmla="*/ 0 w 21600"/>
              <a:gd name="connsiteY0" fmla="*/ 0 h 21600"/>
              <a:gd name="connsiteX1" fmla="*/ 21600 w 21600"/>
              <a:gd name="connsiteY1" fmla="*/ 0 h 21600"/>
              <a:gd name="connsiteX2" fmla="*/ 21600 w 21600"/>
              <a:gd name="connsiteY2" fmla="*/ 17322 h 21600"/>
              <a:gd name="connsiteX3" fmla="*/ 0 w 21600"/>
              <a:gd name="connsiteY3" fmla="*/ 20172 h 21600"/>
              <a:gd name="connsiteX4" fmla="*/ 0 w 21600"/>
              <a:gd name="connsiteY4" fmla="*/ 0 h 21600"/>
              <a:gd name="connsiteX0" fmla="*/ 0 w 21600"/>
              <a:gd name="connsiteY0" fmla="*/ 0 h 22001"/>
              <a:gd name="connsiteX1" fmla="*/ 21600 w 21600"/>
              <a:gd name="connsiteY1" fmla="*/ 0 h 22001"/>
              <a:gd name="connsiteX2" fmla="*/ 21508 w 21600"/>
              <a:gd name="connsiteY2" fmla="*/ 20745 h 22001"/>
              <a:gd name="connsiteX3" fmla="*/ 0 w 21600"/>
              <a:gd name="connsiteY3" fmla="*/ 20172 h 22001"/>
              <a:gd name="connsiteX4" fmla="*/ 0 w 21600"/>
              <a:gd name="connsiteY4" fmla="*/ 0 h 220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600" h="22001">
                <a:moveTo>
                  <a:pt x="0" y="0"/>
                </a:moveTo>
                <a:lnTo>
                  <a:pt x="21600" y="0"/>
                </a:lnTo>
                <a:cubicBezTo>
                  <a:pt x="21600" y="5774"/>
                  <a:pt x="21508" y="14971"/>
                  <a:pt x="21508" y="20745"/>
                </a:cubicBezTo>
                <a:cubicBezTo>
                  <a:pt x="10708" y="20745"/>
                  <a:pt x="10800" y="23922"/>
                  <a:pt x="0" y="20172"/>
                </a:cubicBezTo>
                <a:lnTo>
                  <a:pt x="0" y="0"/>
                </a:lnTo>
                <a:close/>
              </a:path>
            </a:pathLst>
          </a:custGeom>
          <a:solidFill>
            <a:srgbClr val="00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/>
              <a:t>            </a:t>
            </a:r>
            <a:r>
              <a:rPr lang="en-US" sz="1100" baseline="0">
                <a:solidFill>
                  <a:sysClr val="windowText" lastClr="000000"/>
                </a:solidFill>
              </a:rPr>
              <a:t>Caso queira adicionar  novas dietas, basta seguir a indicação das colunas e preencher os dados de acordo  (utilize vírgulas caso tenha casas decimais). Depois clique no ícone do disquete.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Você pode também alterar as dietas já existentes. :)</a:t>
            </a:r>
            <a:endParaRPr lang="pt-BR">
              <a:solidFill>
                <a:schemeClr val="tx1"/>
              </a:solidFill>
              <a:effectLst/>
            </a:endParaRPr>
          </a:p>
          <a:p>
            <a:pPr lvl="0" algn="l"/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Sol 5"/>
          <xdr:cNvSpPr/>
        </xdr:nvSpPr>
        <xdr:spPr>
          <a:xfrm>
            <a:off x="5924550" y="1381126"/>
            <a:ext cx="542925" cy="533400"/>
          </a:xfrm>
          <a:prstGeom prst="sun">
            <a:avLst/>
          </a:prstGeom>
          <a:solidFill>
            <a:srgbClr val="00FFFF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5</xdr:col>
      <xdr:colOff>390525</xdr:colOff>
      <xdr:row>11</xdr:row>
      <xdr:rowOff>0</xdr:rowOff>
    </xdr:from>
    <xdr:to>
      <xdr:col>9</xdr:col>
      <xdr:colOff>457199</xdr:colOff>
      <xdr:row>19</xdr:row>
      <xdr:rowOff>190501</xdr:rowOff>
    </xdr:to>
    <xdr:grpSp>
      <xdr:nvGrpSpPr>
        <xdr:cNvPr id="15" name="GrupoHelp2"/>
        <xdr:cNvGrpSpPr/>
      </xdr:nvGrpSpPr>
      <xdr:grpSpPr>
        <a:xfrm>
          <a:off x="7324725" y="2209800"/>
          <a:ext cx="2505074" cy="1790701"/>
          <a:chOff x="7324725" y="2209800"/>
          <a:chExt cx="2505074" cy="1790701"/>
        </a:xfrm>
      </xdr:grpSpPr>
      <xdr:sp macro="" textlink="">
        <xdr:nvSpPr>
          <xdr:cNvPr id="20" name="Flowchart: Document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7525461" y="2481760"/>
            <a:ext cx="2304338" cy="1518741"/>
          </a:xfrm>
          <a:custGeom>
            <a:avLst/>
            <a:gdLst>
              <a:gd name="connsiteX0" fmla="*/ 0 w 21600"/>
              <a:gd name="connsiteY0" fmla="*/ 0 h 21600"/>
              <a:gd name="connsiteX1" fmla="*/ 21600 w 21600"/>
              <a:gd name="connsiteY1" fmla="*/ 0 h 21600"/>
              <a:gd name="connsiteX2" fmla="*/ 21600 w 21600"/>
              <a:gd name="connsiteY2" fmla="*/ 17322 h 21600"/>
              <a:gd name="connsiteX3" fmla="*/ 0 w 21600"/>
              <a:gd name="connsiteY3" fmla="*/ 20172 h 21600"/>
              <a:gd name="connsiteX4" fmla="*/ 0 w 21600"/>
              <a:gd name="connsiteY4" fmla="*/ 0 h 21600"/>
              <a:gd name="connsiteX0" fmla="*/ 0 w 21600"/>
              <a:gd name="connsiteY0" fmla="*/ 0 h 22001"/>
              <a:gd name="connsiteX1" fmla="*/ 21600 w 21600"/>
              <a:gd name="connsiteY1" fmla="*/ 0 h 22001"/>
              <a:gd name="connsiteX2" fmla="*/ 21508 w 21600"/>
              <a:gd name="connsiteY2" fmla="*/ 20745 h 22001"/>
              <a:gd name="connsiteX3" fmla="*/ 0 w 21600"/>
              <a:gd name="connsiteY3" fmla="*/ 20172 h 22001"/>
              <a:gd name="connsiteX4" fmla="*/ 0 w 21600"/>
              <a:gd name="connsiteY4" fmla="*/ 0 h 220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600" h="22001">
                <a:moveTo>
                  <a:pt x="0" y="0"/>
                </a:moveTo>
                <a:lnTo>
                  <a:pt x="21600" y="0"/>
                </a:lnTo>
                <a:cubicBezTo>
                  <a:pt x="21600" y="5774"/>
                  <a:pt x="21508" y="14971"/>
                  <a:pt x="21508" y="20745"/>
                </a:cubicBezTo>
                <a:cubicBezTo>
                  <a:pt x="10708" y="20745"/>
                  <a:pt x="10800" y="23922"/>
                  <a:pt x="0" y="20172"/>
                </a:cubicBezTo>
                <a:lnTo>
                  <a:pt x="0" y="0"/>
                </a:lnTo>
                <a:close/>
              </a:path>
            </a:pathLst>
          </a:custGeom>
          <a:solidFill>
            <a:srgbClr val="00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/>
              <a:t>            </a:t>
            </a:r>
            <a:r>
              <a:rPr lang="pt-BR" sz="1100" baseline="0">
                <a:solidFill>
                  <a:sysClr val="windowText" lastClr="000000"/>
                </a:solidFill>
              </a:rPr>
              <a:t>Caso queira, você pode adicionar novas abas a esta panilha, entretanto não exclua as planilhas que estão realçadas de azul. 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pt-BR" sz="1100" baseline="0">
              <a:solidFill>
                <a:sysClr val="windowText" lastClr="000000"/>
              </a:solidFill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100" baseline="0">
                <a:solidFill>
                  <a:sysClr val="windowText" lastClr="000000"/>
                </a:solidFill>
                <a:effectLst/>
              </a:rPr>
              <a:t>Você pode também renomear as abas conforme preferir, inclusive as realçadas de azul :)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pt-BR">
              <a:solidFill>
                <a:schemeClr val="tx1"/>
              </a:solidFill>
              <a:effectLst/>
            </a:endParaRPr>
          </a:p>
          <a:p>
            <a:pPr lvl="0" algn="l"/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2" name="Sol 21"/>
          <xdr:cNvSpPr/>
        </xdr:nvSpPr>
        <xdr:spPr>
          <a:xfrm>
            <a:off x="7324725" y="2209800"/>
            <a:ext cx="542925" cy="535940"/>
          </a:xfrm>
          <a:prstGeom prst="sun">
            <a:avLst/>
          </a:prstGeom>
          <a:solidFill>
            <a:srgbClr val="00FFFF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3.emf"/><Relationship Id="rId2" Type="http://schemas.openxmlformats.org/officeDocument/2006/relationships/hyperlink" Target="a" TargetMode="External"/><Relationship Id="rId1" Type="http://schemas.openxmlformats.org/officeDocument/2006/relationships/hyperlink" Target="a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Dash">
    <tabColor theme="4" tint="0.79998168889431442"/>
  </sheetPr>
  <dimension ref="A1:F25"/>
  <sheetViews>
    <sheetView showRowColHeaders="0" tabSelected="1" workbookViewId="0"/>
  </sheetViews>
  <sheetFormatPr defaultRowHeight="15" x14ac:dyDescent="0.25"/>
  <cols>
    <col min="1" max="1" width="9.140625" style="10"/>
    <col min="2" max="2" width="26.7109375" style="10" customWidth="1"/>
    <col min="3" max="3" width="19.85546875" style="10" customWidth="1"/>
    <col min="4" max="4" width="9.140625" style="10"/>
    <col min="5" max="5" width="28.42578125" style="10" customWidth="1"/>
    <col min="6" max="6" width="19.85546875" style="10" customWidth="1"/>
    <col min="7" max="16384" width="9.140625" style="10"/>
  </cols>
  <sheetData>
    <row r="1" spans="1:6" ht="15.75" thickBot="1" x14ac:dyDescent="0.3">
      <c r="A1" s="7"/>
      <c r="B1" s="8" t="s">
        <v>4</v>
      </c>
      <c r="C1" s="9" t="s">
        <v>19</v>
      </c>
    </row>
    <row r="2" spans="1:6" ht="15.75" thickBot="1" x14ac:dyDescent="0.3">
      <c r="B2" s="8" t="s">
        <v>0</v>
      </c>
      <c r="C2" s="18">
        <v>50</v>
      </c>
    </row>
    <row r="3" spans="1:6" ht="15.75" thickBot="1" x14ac:dyDescent="0.3">
      <c r="B3" s="8" t="s">
        <v>1</v>
      </c>
      <c r="C3" s="18">
        <v>1063</v>
      </c>
    </row>
    <row r="4" spans="1:6" ht="15.75" thickBot="1" x14ac:dyDescent="0.3">
      <c r="B4" s="8" t="s">
        <v>2</v>
      </c>
      <c r="C4" s="18">
        <v>36.6</v>
      </c>
    </row>
    <row r="5" spans="1:6" ht="15.75" thickBot="1" x14ac:dyDescent="0.3">
      <c r="B5" s="8" t="s">
        <v>3</v>
      </c>
      <c r="C5" s="18">
        <v>1.34</v>
      </c>
    </row>
    <row r="6" spans="1:6" ht="24.75" customHeight="1" x14ac:dyDescent="0.25">
      <c r="C6" s="6"/>
    </row>
    <row r="7" spans="1:6" ht="15.75" thickBot="1" x14ac:dyDescent="0.3">
      <c r="C7" s="6"/>
    </row>
    <row r="8" spans="1:6" ht="15.75" thickBot="1" x14ac:dyDescent="0.3">
      <c r="B8" s="15" t="s">
        <v>7</v>
      </c>
      <c r="C8" s="16">
        <f>$C$3*VLOOKUP($C$1,dieta,2,0)</f>
        <v>1594.5</v>
      </c>
      <c r="E8" s="15" t="s">
        <v>12</v>
      </c>
      <c r="F8" s="17">
        <f>$C$3*VLOOKUP($C$1,dieta,3,0)</f>
        <v>79.724999999999994</v>
      </c>
    </row>
    <row r="9" spans="1:6" ht="15.75" thickBot="1" x14ac:dyDescent="0.3">
      <c r="B9" s="15" t="s">
        <v>8</v>
      </c>
      <c r="C9" s="17">
        <f>$C$8/$C$2</f>
        <v>31.89</v>
      </c>
      <c r="E9" s="15" t="s">
        <v>9</v>
      </c>
      <c r="F9" s="17">
        <f>$F$8/$C$2</f>
        <v>1.5944999999999998</v>
      </c>
    </row>
    <row r="11" spans="1:6" x14ac:dyDescent="0.25">
      <c r="B11" s="11" t="s">
        <v>13</v>
      </c>
      <c r="C11" s="11"/>
      <c r="E11" s="11" t="s">
        <v>10</v>
      </c>
      <c r="F11" s="11"/>
    </row>
    <row r="12" spans="1:6" x14ac:dyDescent="0.25">
      <c r="B12" s="11" t="s">
        <v>14</v>
      </c>
      <c r="C12" s="12">
        <f>$C$8/($C$2*$C$4)</f>
        <v>0.87131147540983611</v>
      </c>
      <c r="E12" s="11" t="s">
        <v>15</v>
      </c>
      <c r="F12" s="12">
        <f>$F$8/($C$2*$C$5)</f>
        <v>1.1899253731343282</v>
      </c>
    </row>
    <row r="13" spans="1:6" x14ac:dyDescent="0.25">
      <c r="B13" s="11" t="str">
        <f>IF(C14&gt;0,"Defasagem calórica","Excesso calórico")</f>
        <v>Defasagem calórica</v>
      </c>
      <c r="C13" s="13">
        <f>IF(0&gt;$C$14,-1*$C$14,1*$C$14)</f>
        <v>0.12868852459016389</v>
      </c>
      <c r="E13" s="11" t="str">
        <f>IF(F14&gt;0,"Defasagem protéica","Excesso protéico")</f>
        <v>Excesso protéico</v>
      </c>
      <c r="F13" s="13">
        <f>IF(0&gt;$F$14,-1*$F$14,1*$F$14)</f>
        <v>0.18992537313432822</v>
      </c>
    </row>
    <row r="14" spans="1:6" x14ac:dyDescent="0.25">
      <c r="B14" s="11"/>
      <c r="C14" s="13">
        <f>1-$C$12</f>
        <v>0.12868852459016389</v>
      </c>
      <c r="E14" s="11"/>
      <c r="F14" s="13">
        <f>1-$F$12</f>
        <v>-0.18992537313432822</v>
      </c>
    </row>
    <row r="15" spans="1:6" x14ac:dyDescent="0.25">
      <c r="C15" s="14"/>
    </row>
    <row r="16" spans="1:6" x14ac:dyDescent="0.25">
      <c r="C16" s="14"/>
    </row>
    <row r="25" spans="6:6" x14ac:dyDescent="0.25">
      <c r="F25" s="6"/>
    </row>
  </sheetData>
  <sheetProtection sheet="1" objects="1" scenarios="1" selectLockedCells="1"/>
  <dataValidations count="1">
    <dataValidation type="list" allowBlank="1" showInputMessage="1" showErrorMessage="1" errorTitle="Dieta não encontrada." error="Por favor, selecione a dieta segundo as opções disponíveis. _x000a_" promptTitle="Dieta para base de cálculo." prompt="Selecione a dieta adequada." sqref="C1">
      <formula1>dietaname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Dieta">
    <tabColor theme="4" tint="0.79998168889431442"/>
  </sheetPr>
  <dimension ref="A1:J105"/>
  <sheetViews>
    <sheetView workbookViewId="0">
      <pane ySplit="1" topLeftCell="A2" activePane="bottomLeft" state="frozen"/>
      <selection pane="bottomLeft" activeCell="B10" sqref="B10"/>
    </sheetView>
  </sheetViews>
  <sheetFormatPr defaultRowHeight="15" x14ac:dyDescent="0.25"/>
  <cols>
    <col min="1" max="1" width="20.28515625" style="1" bestFit="1" customWidth="1"/>
    <col min="2" max="2" width="36.85546875" style="1" bestFit="1" customWidth="1"/>
    <col min="3" max="3" width="34.5703125" style="1" bestFit="1" customWidth="1"/>
    <col min="4" max="4" width="3.140625" style="1" customWidth="1"/>
    <col min="5" max="5" width="9.140625" style="1"/>
    <col min="6" max="10" width="9.140625" style="1" hidden="1" customWidth="1"/>
    <col min="11" max="16384" width="9.140625" style="1"/>
  </cols>
  <sheetData>
    <row r="1" spans="1:5" s="5" customFormat="1" ht="16.5" thickBot="1" x14ac:dyDescent="0.3">
      <c r="A1" s="4" t="s">
        <v>5</v>
      </c>
      <c r="B1" s="4" t="s">
        <v>16</v>
      </c>
      <c r="C1" s="4" t="s">
        <v>6</v>
      </c>
    </row>
    <row r="2" spans="1:5" ht="15.75" thickBot="1" x14ac:dyDescent="0.3">
      <c r="A2" s="3" t="s">
        <v>19</v>
      </c>
      <c r="B2" s="3">
        <v>1.5</v>
      </c>
      <c r="C2" s="3">
        <v>7.4999999999999997E-2</v>
      </c>
      <c r="E2" s="2" t="s">
        <v>11</v>
      </c>
    </row>
    <row r="3" spans="1:5" ht="15.75" thickBot="1" x14ac:dyDescent="0.3">
      <c r="A3" s="3" t="s">
        <v>17</v>
      </c>
      <c r="B3" s="3">
        <v>1</v>
      </c>
      <c r="C3" s="3">
        <v>4.4999999999999998E-2</v>
      </c>
      <c r="E3" s="2" t="s">
        <v>11</v>
      </c>
    </row>
    <row r="4" spans="1:5" ht="15.75" thickBot="1" x14ac:dyDescent="0.3">
      <c r="A4" s="3" t="s">
        <v>18</v>
      </c>
      <c r="B4" s="3">
        <v>1.5</v>
      </c>
      <c r="C4" s="3">
        <v>0.1</v>
      </c>
    </row>
    <row r="5" spans="1:5" ht="15.75" thickBot="1" x14ac:dyDescent="0.3">
      <c r="A5" s="3" t="s">
        <v>20</v>
      </c>
      <c r="B5" s="3">
        <v>1.07</v>
      </c>
      <c r="C5" s="3">
        <v>0.56899999999999995</v>
      </c>
    </row>
    <row r="6" spans="1:5" ht="15.75" thickBot="1" x14ac:dyDescent="0.3">
      <c r="A6" s="3"/>
      <c r="B6" s="3"/>
      <c r="C6" s="3"/>
    </row>
    <row r="7" spans="1:5" ht="15.75" thickBot="1" x14ac:dyDescent="0.3">
      <c r="A7" s="3"/>
      <c r="B7" s="3"/>
      <c r="C7" s="3"/>
    </row>
    <row r="8" spans="1:5" ht="15.75" thickBot="1" x14ac:dyDescent="0.3">
      <c r="A8" s="3"/>
      <c r="B8" s="3"/>
      <c r="C8" s="3"/>
    </row>
    <row r="9" spans="1:5" ht="15.75" thickBot="1" x14ac:dyDescent="0.3">
      <c r="A9" s="3"/>
      <c r="B9" s="3"/>
      <c r="C9" s="3"/>
    </row>
    <row r="10" spans="1:5" ht="15.75" thickBot="1" x14ac:dyDescent="0.3">
      <c r="A10" s="3"/>
      <c r="B10" s="3"/>
      <c r="C10" s="3"/>
    </row>
    <row r="11" spans="1:5" ht="15.75" thickBot="1" x14ac:dyDescent="0.3">
      <c r="A11" s="3"/>
      <c r="B11" s="3"/>
      <c r="C11" s="3"/>
    </row>
    <row r="12" spans="1:5" ht="15.75" thickBot="1" x14ac:dyDescent="0.3">
      <c r="A12" s="3"/>
      <c r="B12" s="3"/>
      <c r="C12" s="3"/>
    </row>
    <row r="13" spans="1:5" ht="15.75" thickBot="1" x14ac:dyDescent="0.3">
      <c r="A13" s="3"/>
      <c r="B13" s="3"/>
      <c r="C13" s="3"/>
    </row>
    <row r="14" spans="1:5" ht="15.75" thickBot="1" x14ac:dyDescent="0.3">
      <c r="A14" s="3"/>
      <c r="B14" s="3"/>
      <c r="C14" s="3"/>
    </row>
    <row r="15" spans="1:5" ht="15.75" thickBot="1" x14ac:dyDescent="0.3">
      <c r="A15" s="3"/>
      <c r="B15" s="3"/>
      <c r="C15" s="3"/>
    </row>
    <row r="16" spans="1:5" ht="15.75" thickBot="1" x14ac:dyDescent="0.3">
      <c r="A16" s="3"/>
      <c r="B16" s="3"/>
      <c r="C16" s="3"/>
    </row>
    <row r="17" spans="1:3" ht="15.75" thickBot="1" x14ac:dyDescent="0.3">
      <c r="A17" s="3"/>
      <c r="B17" s="3"/>
      <c r="C17" s="3"/>
    </row>
    <row r="18" spans="1:3" ht="15.75" thickBot="1" x14ac:dyDescent="0.3">
      <c r="A18" s="3"/>
      <c r="B18" s="3"/>
      <c r="C18" s="3"/>
    </row>
    <row r="19" spans="1:3" ht="15.75" thickBot="1" x14ac:dyDescent="0.3">
      <c r="A19" s="3"/>
      <c r="B19" s="3"/>
      <c r="C19" s="3"/>
    </row>
    <row r="20" spans="1:3" ht="15.75" thickBot="1" x14ac:dyDescent="0.3">
      <c r="A20" s="3"/>
      <c r="B20" s="3"/>
      <c r="C20" s="3"/>
    </row>
    <row r="21" spans="1:3" ht="15.75" thickBot="1" x14ac:dyDescent="0.3">
      <c r="A21" s="3"/>
      <c r="B21" s="3"/>
      <c r="C21" s="3"/>
    </row>
    <row r="22" spans="1:3" ht="15.75" thickBot="1" x14ac:dyDescent="0.3">
      <c r="A22" s="3"/>
      <c r="B22" s="3"/>
      <c r="C22" s="3"/>
    </row>
    <row r="23" spans="1:3" ht="15.75" thickBot="1" x14ac:dyDescent="0.3">
      <c r="A23" s="3"/>
      <c r="B23" s="3"/>
      <c r="C23" s="3"/>
    </row>
    <row r="24" spans="1:3" ht="15.75" thickBot="1" x14ac:dyDescent="0.3">
      <c r="A24" s="3"/>
      <c r="B24" s="3"/>
      <c r="C24" s="3"/>
    </row>
    <row r="25" spans="1:3" ht="15.75" thickBot="1" x14ac:dyDescent="0.3">
      <c r="A25" s="3"/>
      <c r="B25" s="3"/>
      <c r="C25" s="3"/>
    </row>
    <row r="26" spans="1:3" ht="15.75" thickBot="1" x14ac:dyDescent="0.3">
      <c r="A26" s="3"/>
      <c r="B26" s="3"/>
      <c r="C26" s="3"/>
    </row>
    <row r="27" spans="1:3" ht="15.75" thickBot="1" x14ac:dyDescent="0.3">
      <c r="A27" s="3"/>
      <c r="B27" s="3"/>
      <c r="C27" s="3"/>
    </row>
    <row r="28" spans="1:3" ht="15.75" thickBot="1" x14ac:dyDescent="0.3">
      <c r="A28" s="3"/>
      <c r="B28" s="3"/>
      <c r="C28" s="3"/>
    </row>
    <row r="29" spans="1:3" ht="15.75" thickBot="1" x14ac:dyDescent="0.3">
      <c r="A29" s="3"/>
      <c r="B29" s="3"/>
      <c r="C29" s="3"/>
    </row>
    <row r="30" spans="1:3" ht="15.75" thickBot="1" x14ac:dyDescent="0.3">
      <c r="A30" s="3"/>
      <c r="B30" s="3"/>
      <c r="C30" s="3"/>
    </row>
    <row r="31" spans="1:3" ht="15.75" thickBot="1" x14ac:dyDescent="0.3">
      <c r="A31" s="3"/>
      <c r="B31" s="3"/>
      <c r="C31" s="3"/>
    </row>
    <row r="32" spans="1:3" ht="15.75" thickBot="1" x14ac:dyDescent="0.3">
      <c r="A32" s="3"/>
      <c r="B32" s="3"/>
      <c r="C32" s="3"/>
    </row>
    <row r="33" spans="1:3" ht="15.75" thickBot="1" x14ac:dyDescent="0.3">
      <c r="A33" s="3"/>
      <c r="B33" s="3"/>
      <c r="C33" s="3"/>
    </row>
    <row r="34" spans="1:3" ht="15.75" thickBot="1" x14ac:dyDescent="0.3">
      <c r="A34" s="3"/>
      <c r="B34" s="3"/>
      <c r="C34" s="3"/>
    </row>
    <row r="35" spans="1:3" ht="15.75" thickBot="1" x14ac:dyDescent="0.3">
      <c r="A35" s="3"/>
      <c r="B35" s="3"/>
      <c r="C35" s="3"/>
    </row>
    <row r="36" spans="1:3" ht="15.75" thickBot="1" x14ac:dyDescent="0.3">
      <c r="A36" s="3"/>
      <c r="B36" s="3"/>
      <c r="C36" s="3"/>
    </row>
    <row r="37" spans="1:3" ht="15.75" thickBot="1" x14ac:dyDescent="0.3">
      <c r="A37" s="3"/>
      <c r="B37" s="3"/>
      <c r="C37" s="3"/>
    </row>
    <row r="38" spans="1:3" ht="15.75" thickBot="1" x14ac:dyDescent="0.3">
      <c r="A38" s="3"/>
      <c r="B38" s="3"/>
      <c r="C38" s="3"/>
    </row>
    <row r="39" spans="1:3" ht="15.75" thickBot="1" x14ac:dyDescent="0.3">
      <c r="A39" s="3"/>
      <c r="B39" s="3"/>
      <c r="C39" s="3"/>
    </row>
    <row r="40" spans="1:3" ht="15.75" thickBot="1" x14ac:dyDescent="0.3">
      <c r="A40" s="3"/>
      <c r="B40" s="3"/>
      <c r="C40" s="3"/>
    </row>
    <row r="41" spans="1:3" ht="15.75" thickBot="1" x14ac:dyDescent="0.3">
      <c r="A41" s="3"/>
      <c r="B41" s="3"/>
      <c r="C41" s="3"/>
    </row>
    <row r="42" spans="1:3" ht="15.75" thickBot="1" x14ac:dyDescent="0.3">
      <c r="A42" s="3"/>
      <c r="B42" s="3"/>
      <c r="C42" s="3"/>
    </row>
    <row r="43" spans="1:3" ht="15.75" thickBot="1" x14ac:dyDescent="0.3">
      <c r="A43" s="3"/>
      <c r="B43" s="3"/>
      <c r="C43" s="3"/>
    </row>
    <row r="44" spans="1:3" ht="15.75" thickBot="1" x14ac:dyDescent="0.3">
      <c r="A44" s="3"/>
      <c r="B44" s="3"/>
      <c r="C44" s="3"/>
    </row>
    <row r="45" spans="1:3" ht="15.75" thickBot="1" x14ac:dyDescent="0.3">
      <c r="A45" s="3"/>
      <c r="B45" s="3"/>
      <c r="C45" s="3"/>
    </row>
    <row r="46" spans="1:3" ht="15.75" thickBot="1" x14ac:dyDescent="0.3">
      <c r="A46" s="3"/>
      <c r="B46" s="3"/>
      <c r="C46" s="3"/>
    </row>
    <row r="47" spans="1:3" ht="15.75" thickBot="1" x14ac:dyDescent="0.3">
      <c r="A47" s="3"/>
      <c r="B47" s="3"/>
      <c r="C47" s="3"/>
    </row>
    <row r="48" spans="1:3" ht="15.75" thickBot="1" x14ac:dyDescent="0.3">
      <c r="A48" s="3"/>
      <c r="B48" s="3"/>
      <c r="C48" s="3"/>
    </row>
    <row r="49" spans="1:3" ht="15.75" thickBot="1" x14ac:dyDescent="0.3">
      <c r="A49" s="3"/>
      <c r="B49" s="3"/>
      <c r="C49" s="3"/>
    </row>
    <row r="50" spans="1:3" ht="15.75" thickBot="1" x14ac:dyDescent="0.3">
      <c r="A50" s="3"/>
      <c r="B50" s="3"/>
      <c r="C50" s="3"/>
    </row>
    <row r="51" spans="1:3" ht="15.75" thickBot="1" x14ac:dyDescent="0.3">
      <c r="A51" s="3"/>
      <c r="B51" s="3"/>
      <c r="C51" s="3"/>
    </row>
    <row r="52" spans="1:3" ht="15.75" thickBot="1" x14ac:dyDescent="0.3">
      <c r="A52" s="3"/>
      <c r="B52" s="3"/>
      <c r="C52" s="3"/>
    </row>
    <row r="53" spans="1:3" ht="15.75" thickBot="1" x14ac:dyDescent="0.3">
      <c r="A53" s="3"/>
      <c r="B53" s="3"/>
      <c r="C53" s="3"/>
    </row>
    <row r="54" spans="1:3" ht="15.75" thickBot="1" x14ac:dyDescent="0.3">
      <c r="A54" s="3"/>
      <c r="B54" s="3"/>
      <c r="C54" s="3"/>
    </row>
    <row r="55" spans="1:3" ht="15.75" thickBot="1" x14ac:dyDescent="0.3">
      <c r="A55" s="3"/>
      <c r="B55" s="3"/>
      <c r="C55" s="3"/>
    </row>
    <row r="56" spans="1:3" ht="15.75" thickBot="1" x14ac:dyDescent="0.3">
      <c r="A56" s="3"/>
      <c r="B56" s="3"/>
      <c r="C56" s="3"/>
    </row>
    <row r="57" spans="1:3" ht="15.75" thickBot="1" x14ac:dyDescent="0.3">
      <c r="A57" s="3"/>
      <c r="B57" s="3"/>
      <c r="C57" s="3"/>
    </row>
    <row r="58" spans="1:3" ht="15.75" thickBot="1" x14ac:dyDescent="0.3">
      <c r="A58" s="3"/>
      <c r="B58" s="3"/>
      <c r="C58" s="3"/>
    </row>
    <row r="59" spans="1:3" ht="15.75" thickBot="1" x14ac:dyDescent="0.3">
      <c r="A59" s="3"/>
      <c r="B59" s="3"/>
      <c r="C59" s="3"/>
    </row>
    <row r="60" spans="1:3" ht="15.75" thickBot="1" x14ac:dyDescent="0.3">
      <c r="A60" s="3"/>
      <c r="B60" s="3"/>
      <c r="C60" s="3"/>
    </row>
    <row r="61" spans="1:3" ht="15.75" thickBot="1" x14ac:dyDescent="0.3">
      <c r="A61" s="3"/>
      <c r="B61" s="3"/>
      <c r="C61" s="3"/>
    </row>
    <row r="62" spans="1:3" ht="15.75" thickBot="1" x14ac:dyDescent="0.3">
      <c r="A62" s="3"/>
      <c r="B62" s="3"/>
      <c r="C62" s="3"/>
    </row>
    <row r="63" spans="1:3" ht="15.75" thickBot="1" x14ac:dyDescent="0.3">
      <c r="A63" s="3"/>
      <c r="B63" s="3"/>
      <c r="C63" s="3"/>
    </row>
    <row r="64" spans="1:3" ht="15.75" thickBot="1" x14ac:dyDescent="0.3">
      <c r="A64" s="3"/>
      <c r="B64" s="3"/>
      <c r="C64" s="3"/>
    </row>
    <row r="65" spans="1:3" ht="15.75" thickBot="1" x14ac:dyDescent="0.3">
      <c r="A65" s="3"/>
      <c r="B65" s="3"/>
      <c r="C65" s="3"/>
    </row>
    <row r="66" spans="1:3" ht="15.75" thickBot="1" x14ac:dyDescent="0.3">
      <c r="A66" s="3"/>
      <c r="B66" s="3"/>
      <c r="C66" s="3"/>
    </row>
    <row r="67" spans="1:3" ht="15.75" thickBot="1" x14ac:dyDescent="0.3">
      <c r="A67" s="3"/>
      <c r="B67" s="3"/>
      <c r="C67" s="3"/>
    </row>
    <row r="68" spans="1:3" ht="15.75" thickBot="1" x14ac:dyDescent="0.3">
      <c r="A68" s="3"/>
      <c r="B68" s="3"/>
      <c r="C68" s="3"/>
    </row>
    <row r="69" spans="1:3" ht="15.75" thickBot="1" x14ac:dyDescent="0.3">
      <c r="A69" s="3"/>
      <c r="B69" s="3"/>
      <c r="C69" s="3"/>
    </row>
    <row r="70" spans="1:3" ht="15.75" thickBot="1" x14ac:dyDescent="0.3">
      <c r="A70" s="3"/>
      <c r="B70" s="3"/>
      <c r="C70" s="3"/>
    </row>
    <row r="71" spans="1:3" ht="15.75" thickBot="1" x14ac:dyDescent="0.3">
      <c r="A71" s="3"/>
      <c r="B71" s="3"/>
      <c r="C71" s="3"/>
    </row>
    <row r="72" spans="1:3" ht="15.75" thickBot="1" x14ac:dyDescent="0.3">
      <c r="A72" s="3"/>
      <c r="B72" s="3"/>
      <c r="C72" s="3"/>
    </row>
    <row r="73" spans="1:3" ht="15.75" thickBot="1" x14ac:dyDescent="0.3">
      <c r="A73" s="3"/>
      <c r="B73" s="3"/>
      <c r="C73" s="3"/>
    </row>
    <row r="74" spans="1:3" ht="15.75" thickBot="1" x14ac:dyDescent="0.3">
      <c r="A74" s="3"/>
      <c r="B74" s="3"/>
      <c r="C74" s="3"/>
    </row>
    <row r="75" spans="1:3" ht="15.75" thickBot="1" x14ac:dyDescent="0.3">
      <c r="A75" s="3"/>
      <c r="B75" s="3"/>
      <c r="C75" s="3"/>
    </row>
    <row r="76" spans="1:3" ht="15.75" thickBot="1" x14ac:dyDescent="0.3">
      <c r="A76" s="3"/>
      <c r="B76" s="3"/>
      <c r="C76" s="3"/>
    </row>
    <row r="77" spans="1:3" ht="15.75" thickBot="1" x14ac:dyDescent="0.3">
      <c r="A77" s="3"/>
      <c r="B77" s="3"/>
      <c r="C77" s="3"/>
    </row>
    <row r="78" spans="1:3" ht="15.75" thickBot="1" x14ac:dyDescent="0.3">
      <c r="A78" s="3"/>
      <c r="B78" s="3"/>
      <c r="C78" s="3"/>
    </row>
    <row r="79" spans="1:3" ht="15.75" thickBot="1" x14ac:dyDescent="0.3">
      <c r="A79" s="3"/>
      <c r="B79" s="3"/>
      <c r="C79" s="3"/>
    </row>
    <row r="80" spans="1:3" ht="15.75" thickBot="1" x14ac:dyDescent="0.3">
      <c r="A80" s="3"/>
      <c r="B80" s="3"/>
      <c r="C80" s="3"/>
    </row>
    <row r="81" spans="1:3" ht="15.75" thickBot="1" x14ac:dyDescent="0.3">
      <c r="A81" s="3"/>
      <c r="B81" s="3"/>
      <c r="C81" s="3"/>
    </row>
    <row r="82" spans="1:3" ht="15.75" thickBot="1" x14ac:dyDescent="0.3">
      <c r="A82" s="3"/>
      <c r="B82" s="3"/>
      <c r="C82" s="3"/>
    </row>
    <row r="83" spans="1:3" ht="15.75" thickBot="1" x14ac:dyDescent="0.3">
      <c r="A83" s="3"/>
      <c r="B83" s="3"/>
      <c r="C83" s="3"/>
    </row>
    <row r="84" spans="1:3" ht="15.75" thickBot="1" x14ac:dyDescent="0.3">
      <c r="A84" s="3"/>
      <c r="B84" s="3"/>
      <c r="C84" s="3"/>
    </row>
    <row r="85" spans="1:3" ht="15.75" thickBot="1" x14ac:dyDescent="0.3">
      <c r="A85" s="3"/>
      <c r="B85" s="3"/>
      <c r="C85" s="3"/>
    </row>
    <row r="86" spans="1:3" ht="15.75" thickBot="1" x14ac:dyDescent="0.3">
      <c r="A86" s="3"/>
      <c r="B86" s="3"/>
      <c r="C86" s="3"/>
    </row>
    <row r="87" spans="1:3" ht="15.75" thickBot="1" x14ac:dyDescent="0.3">
      <c r="A87" s="3"/>
      <c r="B87" s="3"/>
      <c r="C87" s="3"/>
    </row>
    <row r="88" spans="1:3" ht="15.75" thickBot="1" x14ac:dyDescent="0.3">
      <c r="A88" s="3"/>
      <c r="B88" s="3"/>
      <c r="C88" s="3"/>
    </row>
    <row r="89" spans="1:3" ht="15.75" thickBot="1" x14ac:dyDescent="0.3">
      <c r="A89" s="3"/>
      <c r="B89" s="3"/>
      <c r="C89" s="3"/>
    </row>
    <row r="90" spans="1:3" ht="15.75" thickBot="1" x14ac:dyDescent="0.3">
      <c r="A90" s="3"/>
      <c r="B90" s="3"/>
      <c r="C90" s="3"/>
    </row>
    <row r="91" spans="1:3" ht="15.75" thickBot="1" x14ac:dyDescent="0.3">
      <c r="A91" s="3"/>
      <c r="B91" s="3"/>
      <c r="C91" s="3"/>
    </row>
    <row r="92" spans="1:3" ht="15.75" thickBot="1" x14ac:dyDescent="0.3">
      <c r="A92" s="3"/>
      <c r="B92" s="3"/>
      <c r="C92" s="3"/>
    </row>
    <row r="93" spans="1:3" ht="15.75" thickBot="1" x14ac:dyDescent="0.3">
      <c r="A93" s="3"/>
      <c r="B93" s="3"/>
      <c r="C93" s="3"/>
    </row>
    <row r="94" spans="1:3" ht="15.75" thickBot="1" x14ac:dyDescent="0.3">
      <c r="A94" s="3"/>
      <c r="B94" s="3"/>
      <c r="C94" s="3"/>
    </row>
    <row r="95" spans="1:3" ht="15.75" thickBot="1" x14ac:dyDescent="0.3">
      <c r="A95" s="3"/>
      <c r="B95" s="3"/>
      <c r="C95" s="3"/>
    </row>
    <row r="96" spans="1:3" ht="15.75" thickBot="1" x14ac:dyDescent="0.3">
      <c r="A96" s="3"/>
      <c r="B96" s="3"/>
      <c r="C96" s="3"/>
    </row>
    <row r="97" spans="1:3" ht="15.75" thickBot="1" x14ac:dyDescent="0.3">
      <c r="A97" s="3"/>
      <c r="B97" s="3"/>
      <c r="C97" s="3"/>
    </row>
    <row r="98" spans="1:3" ht="15.75" thickBot="1" x14ac:dyDescent="0.3">
      <c r="A98" s="3"/>
      <c r="B98" s="3"/>
      <c r="C98" s="3"/>
    </row>
    <row r="99" spans="1:3" ht="15.75" thickBot="1" x14ac:dyDescent="0.3">
      <c r="A99" s="3"/>
      <c r="B99" s="3"/>
      <c r="C99" s="3"/>
    </row>
    <row r="100" spans="1:3" ht="15.75" thickBot="1" x14ac:dyDescent="0.3">
      <c r="A100" s="3"/>
      <c r="B100" s="3"/>
      <c r="C100" s="3"/>
    </row>
    <row r="101" spans="1:3" ht="15.75" thickBot="1" x14ac:dyDescent="0.3">
      <c r="A101" s="3"/>
      <c r="B101" s="3"/>
      <c r="C101" s="3"/>
    </row>
    <row r="102" spans="1:3" ht="15.75" thickBot="1" x14ac:dyDescent="0.3">
      <c r="A102" s="3"/>
      <c r="B102" s="3"/>
      <c r="C102" s="3"/>
    </row>
    <row r="103" spans="1:3" ht="15.75" thickBot="1" x14ac:dyDescent="0.3">
      <c r="A103" s="3"/>
      <c r="B103" s="3"/>
      <c r="C103" s="3"/>
    </row>
    <row r="104" spans="1:3" ht="15.75" thickBot="1" x14ac:dyDescent="0.3">
      <c r="A104" s="3"/>
      <c r="B104" s="3"/>
      <c r="C104" s="3"/>
    </row>
    <row r="105" spans="1:3" ht="15.75" thickBot="1" x14ac:dyDescent="0.3">
      <c r="A105" s="3"/>
      <c r="B105" s="3"/>
      <c r="C105" s="3"/>
    </row>
  </sheetData>
  <hyperlinks>
    <hyperlink ref="E2" r:id="rId1" tooltip="Clique para atualizar!"/>
    <hyperlink ref="E3" r:id="rId2" tooltip="Clique para atualizar!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2051" r:id="rId6" name="CBHelp">
          <controlPr defaultSize="0" autoLine="0" r:id="rId7">
            <anchor moveWithCells="1">
              <from>
                <xdr:col>4</xdr:col>
                <xdr:colOff>57150</xdr:colOff>
                <xdr:row>5</xdr:row>
                <xdr:rowOff>104775</xdr:rowOff>
              </from>
              <to>
                <xdr:col>4</xdr:col>
                <xdr:colOff>552450</xdr:colOff>
                <xdr:row>7</xdr:row>
                <xdr:rowOff>28575</xdr:rowOff>
              </to>
            </anchor>
          </controlPr>
        </control>
      </mc:Choice>
      <mc:Fallback>
        <control shapeId="2051" r:id="rId6" name="CBHelp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Cál dieta enteral e parenteral</vt:lpstr>
      <vt:lpstr>Dietas cadastradas</vt:lpstr>
      <vt:lpstr>dieta</vt:lpstr>
      <vt:lpstr>dietaname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Tássio Jordão</dc:creator>
  <cp:lastModifiedBy>Tássio Jordão</cp:lastModifiedBy>
  <dcterms:created xsi:type="dcterms:W3CDTF">2018-12-29T22:22:35Z</dcterms:created>
  <dcterms:modified xsi:type="dcterms:W3CDTF">2018-12-31T17:01:52Z</dcterms:modified>
</cp:coreProperties>
</file>